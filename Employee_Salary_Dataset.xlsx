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40" yWindow="90" windowWidth="20115" windowHeight="9045" activeTab="3"/>
  </bookViews>
  <sheets>
    <sheet name="Formulas" sheetId="1" r:id="rId1"/>
    <sheet name="Charts" sheetId="3" r:id="rId2"/>
    <sheet name="Pivot Tables" sheetId="4" r:id="rId3"/>
    <sheet name="Dashbaord" sheetId="6" r:id="rId4"/>
  </sheets>
  <definedNames>
    <definedName name="_xlnm._FilterDatabase" localSheetId="1" hidden="1">Charts!$D$1:$D$36</definedName>
    <definedName name="_xlnm._FilterDatabase" localSheetId="0" hidden="1">Formulas!$D$1:$D$36</definedName>
  </definedNames>
  <calcPr calcId="144525"/>
  <pivotCaches>
    <pivotCache cacheId="0" r:id="rId5"/>
  </pivotCaches>
</workbook>
</file>

<file path=xl/calcChain.xml><?xml version="1.0" encoding="utf-8"?>
<calcChain xmlns="http://schemas.openxmlformats.org/spreadsheetml/2006/main">
  <c r="L2" i="1" l="1"/>
  <c r="K2" i="1"/>
  <c r="J2" i="1"/>
  <c r="I2" i="1"/>
  <c r="H31" i="1"/>
  <c r="H32" i="1"/>
  <c r="H33" i="1"/>
  <c r="H34" i="1"/>
  <c r="H35" i="1"/>
  <c r="H36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</calcChain>
</file>

<file path=xl/sharedStrings.xml><?xml version="1.0" encoding="utf-8"?>
<sst xmlns="http://schemas.openxmlformats.org/spreadsheetml/2006/main" count="96" uniqueCount="15">
  <si>
    <t>ID</t>
  </si>
  <si>
    <t>Experience_Years</t>
  </si>
  <si>
    <t>Age</t>
  </si>
  <si>
    <t>Gender</t>
  </si>
  <si>
    <t>Salary</t>
  </si>
  <si>
    <t>Female</t>
  </si>
  <si>
    <t>Male</t>
  </si>
  <si>
    <t>IF</t>
  </si>
  <si>
    <t>CountIF</t>
  </si>
  <si>
    <t>Vlookup</t>
  </si>
  <si>
    <t>Avg Salary</t>
  </si>
  <si>
    <t>Min Salary</t>
  </si>
  <si>
    <t>Row Labels</t>
  </si>
  <si>
    <t>Grand Total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</si>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</sst>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₹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0" fontId="0" fillId="33" borderId="0" xfId="0" applyFill="1"/>
    <xf numFmtId="0" fontId="0" fillId="0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Salary by Gender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tx>
          <c:invertIfNegative val="0"/>
          <c:cat>
            <c:strRef>
              <c:f>Charts!$D$2:$D$36</c:f>
              <c:strCache>
                <c:ptCount val="35"/>
                <c:pt idx="0">
                  <c:v>Female</c:v>
                </c:pt>
                <c:pt idx="1">
                  <c:v>Male</c:v>
                </c:pt>
                <c:pt idx="2">
                  <c:v>Female</c:v>
                </c:pt>
                <c:pt idx="3">
                  <c:v>Male</c:v>
                </c:pt>
                <c:pt idx="4">
                  <c:v>Male</c:v>
                </c:pt>
                <c:pt idx="5">
                  <c:v>Male</c:v>
                </c:pt>
                <c:pt idx="6">
                  <c:v>Female</c:v>
                </c:pt>
                <c:pt idx="7">
                  <c:v>Female</c:v>
                </c:pt>
                <c:pt idx="8">
                  <c:v>Female</c:v>
                </c:pt>
                <c:pt idx="9">
                  <c:v>Female</c:v>
                </c:pt>
                <c:pt idx="10">
                  <c:v>Female</c:v>
                </c:pt>
                <c:pt idx="11">
                  <c:v>Male</c:v>
                </c:pt>
                <c:pt idx="12">
                  <c:v>Male</c:v>
                </c:pt>
                <c:pt idx="13">
                  <c:v>Male</c:v>
                </c:pt>
                <c:pt idx="14">
                  <c:v>Male</c:v>
                </c:pt>
                <c:pt idx="15">
                  <c:v>Female</c:v>
                </c:pt>
                <c:pt idx="16">
                  <c:v>Female</c:v>
                </c:pt>
                <c:pt idx="17">
                  <c:v>Female</c:v>
                </c:pt>
                <c:pt idx="18">
                  <c:v>Male</c:v>
                </c:pt>
                <c:pt idx="19">
                  <c:v>Male</c:v>
                </c:pt>
                <c:pt idx="20">
                  <c:v>Male</c:v>
                </c:pt>
                <c:pt idx="21">
                  <c:v>Male</c:v>
                </c:pt>
                <c:pt idx="22">
                  <c:v>Male</c:v>
                </c:pt>
                <c:pt idx="23">
                  <c:v>Female</c:v>
                </c:pt>
                <c:pt idx="24">
                  <c:v>Female</c:v>
                </c:pt>
                <c:pt idx="25">
                  <c:v>Female</c:v>
                </c:pt>
                <c:pt idx="26">
                  <c:v>Male</c:v>
                </c:pt>
                <c:pt idx="27">
                  <c:v>Female</c:v>
                </c:pt>
                <c:pt idx="28">
                  <c:v>Female</c:v>
                </c:pt>
                <c:pt idx="29">
                  <c:v>Female</c:v>
                </c:pt>
                <c:pt idx="30">
                  <c:v>Male</c:v>
                </c:pt>
                <c:pt idx="31">
                  <c:v>Male</c:v>
                </c:pt>
                <c:pt idx="32">
                  <c:v>Female</c:v>
                </c:pt>
                <c:pt idx="33">
                  <c:v>Female</c:v>
                </c:pt>
                <c:pt idx="34">
                  <c:v>Male</c:v>
                </c:pt>
              </c:strCache>
            </c:strRef>
          </c:cat>
          <c:val>
            <c:numRef>
              <c:f>Charts!$E$2:$E$36</c:f>
              <c:numCache>
                <c:formatCode>"₹"\ #,##0.00</c:formatCode>
                <c:ptCount val="35"/>
                <c:pt idx="0">
                  <c:v>250000</c:v>
                </c:pt>
                <c:pt idx="1">
                  <c:v>50000</c:v>
                </c:pt>
                <c:pt idx="2">
                  <c:v>170000</c:v>
                </c:pt>
                <c:pt idx="3">
                  <c:v>25000</c:v>
                </c:pt>
                <c:pt idx="4">
                  <c:v>10000</c:v>
                </c:pt>
                <c:pt idx="5">
                  <c:v>5001000</c:v>
                </c:pt>
                <c:pt idx="6">
                  <c:v>800000</c:v>
                </c:pt>
                <c:pt idx="7">
                  <c:v>9000</c:v>
                </c:pt>
                <c:pt idx="8">
                  <c:v>61500</c:v>
                </c:pt>
                <c:pt idx="9">
                  <c:v>650000</c:v>
                </c:pt>
                <c:pt idx="10">
                  <c:v>250000</c:v>
                </c:pt>
                <c:pt idx="11">
                  <c:v>1400000</c:v>
                </c:pt>
                <c:pt idx="12">
                  <c:v>6000050</c:v>
                </c:pt>
                <c:pt idx="13">
                  <c:v>220100</c:v>
                </c:pt>
                <c:pt idx="14">
                  <c:v>7500</c:v>
                </c:pt>
                <c:pt idx="15">
                  <c:v>87000</c:v>
                </c:pt>
                <c:pt idx="16">
                  <c:v>930000</c:v>
                </c:pt>
                <c:pt idx="17">
                  <c:v>7900000</c:v>
                </c:pt>
                <c:pt idx="18">
                  <c:v>15000</c:v>
                </c:pt>
                <c:pt idx="19">
                  <c:v>330000</c:v>
                </c:pt>
                <c:pt idx="20">
                  <c:v>6570000</c:v>
                </c:pt>
                <c:pt idx="21">
                  <c:v>25000</c:v>
                </c:pt>
                <c:pt idx="22">
                  <c:v>6845000</c:v>
                </c:pt>
                <c:pt idx="23">
                  <c:v>6000</c:v>
                </c:pt>
                <c:pt idx="24">
                  <c:v>8900</c:v>
                </c:pt>
                <c:pt idx="25">
                  <c:v>20000</c:v>
                </c:pt>
                <c:pt idx="26">
                  <c:v>3000</c:v>
                </c:pt>
                <c:pt idx="27">
                  <c:v>10000000</c:v>
                </c:pt>
                <c:pt idx="28">
                  <c:v>5000000</c:v>
                </c:pt>
                <c:pt idx="29">
                  <c:v>6100</c:v>
                </c:pt>
                <c:pt idx="30">
                  <c:v>80000</c:v>
                </c:pt>
                <c:pt idx="31">
                  <c:v>900000</c:v>
                </c:pt>
                <c:pt idx="32">
                  <c:v>1540000</c:v>
                </c:pt>
                <c:pt idx="33">
                  <c:v>9300000</c:v>
                </c:pt>
                <c:pt idx="34">
                  <c:v>7600000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584512"/>
        <c:axId val="187586048"/>
      </c:barChart>
      <c:catAx>
        <c:axId val="187584512"/>
        <c:scaling>
          <c:orientation val="minMax"/>
        </c:scaling>
        <c:delete val="0"/>
        <c:axPos val="b"/>
        <c:majorTickMark val="out"/>
        <c:minorTickMark val="none"/>
        <c:tickLblPos val="nextTo"/>
        <c:crossAx val="187586048"/>
        <c:crosses val="autoZero"/>
        <c:auto val="1"/>
        <c:lblAlgn val="ctr"/>
        <c:lblOffset val="100"/>
        <c:noMultiLvlLbl val="0"/>
      </c:catAx>
      <c:valAx>
        <c:axId val="187586048"/>
        <c:scaling>
          <c:orientation val="minMax"/>
        </c:scaling>
        <c:delete val="0"/>
        <c:axPos val="l"/>
        <c:majorGridlines/>
        <c:numFmt formatCode="&quot;₹&quot;\ #,##0.00" sourceLinked="1"/>
        <c:majorTickMark val="out"/>
        <c:minorTickMark val="none"/>
        <c:tickLblPos val="nextTo"/>
        <c:crossAx val="187584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Salary by Age</a:t>
            </a:r>
          </a:p>
        </c:rich>
      </c:tx>
      <c:layout/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Charts!$C$1</c:f>
              <c:strCache>
                <c:ptCount val="1"/>
                <c:pt idx="0">
                  <c:v>Age</c:v>
                </c:pt>
              </c:strCache>
            </c:strRef>
          </c:tx>
          <c:val>
            <c:numRef>
              <c:f>Charts!$C$2:$C$36</c:f>
              <c:numCache>
                <c:formatCode>0</c:formatCode>
                <c:ptCount val="35"/>
                <c:pt idx="0">
                  <c:v>28</c:v>
                </c:pt>
                <c:pt idx="1">
                  <c:v>21</c:v>
                </c:pt>
                <c:pt idx="2">
                  <c:v>23</c:v>
                </c:pt>
                <c:pt idx="3">
                  <c:v>22</c:v>
                </c:pt>
                <c:pt idx="4">
                  <c:v>17</c:v>
                </c:pt>
                <c:pt idx="5">
                  <c:v>62</c:v>
                </c:pt>
                <c:pt idx="6">
                  <c:v>54</c:v>
                </c:pt>
                <c:pt idx="7">
                  <c:v>21</c:v>
                </c:pt>
                <c:pt idx="8">
                  <c:v>36</c:v>
                </c:pt>
                <c:pt idx="9">
                  <c:v>54</c:v>
                </c:pt>
                <c:pt idx="10">
                  <c:v>26</c:v>
                </c:pt>
                <c:pt idx="11">
                  <c:v>29</c:v>
                </c:pt>
                <c:pt idx="12">
                  <c:v>39</c:v>
                </c:pt>
                <c:pt idx="13">
                  <c:v>40</c:v>
                </c:pt>
                <c:pt idx="14">
                  <c:v>23</c:v>
                </c:pt>
                <c:pt idx="15">
                  <c:v>27</c:v>
                </c:pt>
                <c:pt idx="16">
                  <c:v>34</c:v>
                </c:pt>
                <c:pt idx="17">
                  <c:v>54</c:v>
                </c:pt>
                <c:pt idx="18">
                  <c:v>21</c:v>
                </c:pt>
                <c:pt idx="19">
                  <c:v>36</c:v>
                </c:pt>
                <c:pt idx="20">
                  <c:v>54</c:v>
                </c:pt>
                <c:pt idx="21">
                  <c:v>26</c:v>
                </c:pt>
                <c:pt idx="22">
                  <c:v>29</c:v>
                </c:pt>
                <c:pt idx="23">
                  <c:v>21</c:v>
                </c:pt>
                <c:pt idx="24">
                  <c:v>23</c:v>
                </c:pt>
                <c:pt idx="25">
                  <c:v>22</c:v>
                </c:pt>
                <c:pt idx="26">
                  <c:v>18</c:v>
                </c:pt>
                <c:pt idx="27">
                  <c:v>62</c:v>
                </c:pt>
                <c:pt idx="28">
                  <c:v>54</c:v>
                </c:pt>
                <c:pt idx="29">
                  <c:v>21</c:v>
                </c:pt>
                <c:pt idx="30">
                  <c:v>34</c:v>
                </c:pt>
                <c:pt idx="31">
                  <c:v>54</c:v>
                </c:pt>
                <c:pt idx="32">
                  <c:v>55</c:v>
                </c:pt>
                <c:pt idx="33">
                  <c:v>53</c:v>
                </c:pt>
                <c:pt idx="34">
                  <c:v>49</c:v>
                </c:pt>
              </c:numCache>
            </c:numRef>
          </c:val>
        </c:ser>
        <c:ser>
          <c:idx val="1"/>
          <c:order val="1"/>
          <c:tx>
            <c:strRef>
              <c:f>Charts!$E$1</c:f>
              <c:strCache>
                <c:ptCount val="1"/>
                <c:pt idx="0">
                  <c:v>Salary</c:v>
                </c:pt>
              </c:strCache>
            </c:strRef>
          </c:tx>
          <c:val>
            <c:numRef>
              <c:f>Charts!$E$2:$E$36</c:f>
              <c:numCache>
                <c:formatCode>"₹"\ #,##0.00</c:formatCode>
                <c:ptCount val="35"/>
                <c:pt idx="0">
                  <c:v>250000</c:v>
                </c:pt>
                <c:pt idx="1">
                  <c:v>50000</c:v>
                </c:pt>
                <c:pt idx="2">
                  <c:v>170000</c:v>
                </c:pt>
                <c:pt idx="3">
                  <c:v>25000</c:v>
                </c:pt>
                <c:pt idx="4">
                  <c:v>10000</c:v>
                </c:pt>
                <c:pt idx="5">
                  <c:v>5001000</c:v>
                </c:pt>
                <c:pt idx="6">
                  <c:v>800000</c:v>
                </c:pt>
                <c:pt idx="7">
                  <c:v>9000</c:v>
                </c:pt>
                <c:pt idx="8">
                  <c:v>61500</c:v>
                </c:pt>
                <c:pt idx="9">
                  <c:v>650000</c:v>
                </c:pt>
                <c:pt idx="10">
                  <c:v>250000</c:v>
                </c:pt>
                <c:pt idx="11">
                  <c:v>1400000</c:v>
                </c:pt>
                <c:pt idx="12">
                  <c:v>6000050</c:v>
                </c:pt>
                <c:pt idx="13">
                  <c:v>220100</c:v>
                </c:pt>
                <c:pt idx="14">
                  <c:v>7500</c:v>
                </c:pt>
                <c:pt idx="15">
                  <c:v>87000</c:v>
                </c:pt>
                <c:pt idx="16">
                  <c:v>930000</c:v>
                </c:pt>
                <c:pt idx="17">
                  <c:v>7900000</c:v>
                </c:pt>
                <c:pt idx="18">
                  <c:v>15000</c:v>
                </c:pt>
                <c:pt idx="19">
                  <c:v>330000</c:v>
                </c:pt>
                <c:pt idx="20">
                  <c:v>6570000</c:v>
                </c:pt>
                <c:pt idx="21">
                  <c:v>25000</c:v>
                </c:pt>
                <c:pt idx="22">
                  <c:v>6845000</c:v>
                </c:pt>
                <c:pt idx="23">
                  <c:v>6000</c:v>
                </c:pt>
                <c:pt idx="24">
                  <c:v>8900</c:v>
                </c:pt>
                <c:pt idx="25">
                  <c:v>20000</c:v>
                </c:pt>
                <c:pt idx="26">
                  <c:v>3000</c:v>
                </c:pt>
                <c:pt idx="27">
                  <c:v>10000000</c:v>
                </c:pt>
                <c:pt idx="28">
                  <c:v>5000000</c:v>
                </c:pt>
                <c:pt idx="29">
                  <c:v>6100</c:v>
                </c:pt>
                <c:pt idx="30">
                  <c:v>80000</c:v>
                </c:pt>
                <c:pt idx="31">
                  <c:v>900000</c:v>
                </c:pt>
                <c:pt idx="32">
                  <c:v>1540000</c:v>
                </c:pt>
                <c:pt idx="33">
                  <c:v>9300000</c:v>
                </c:pt>
                <c:pt idx="34">
                  <c:v>7600000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[Employee_Salary_Dataset.xlsx]Pivot Tables!PivotTable6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Avg</a:t>
            </a:r>
            <a:r>
              <a:rPr lang="en-US" baseline="0"/>
              <a:t> Salary by Gender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Tables'!$B$4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Tables'!$A$5:$A$7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Tables'!$B$5:$B$7</c:f>
              <c:numCache>
                <c:formatCode>General</c:formatCode>
                <c:ptCount val="2"/>
                <c:pt idx="0">
                  <c:v>2054916.6666666667</c:v>
                </c:pt>
                <c:pt idx="1">
                  <c:v>2063626.4705882352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7734656"/>
        <c:axId val="187736448"/>
      </c:barChart>
      <c:catAx>
        <c:axId val="187734656"/>
        <c:scaling>
          <c:orientation val="minMax"/>
        </c:scaling>
        <c:delete val="0"/>
        <c:axPos val="b"/>
        <c:majorTickMark val="out"/>
        <c:minorTickMark val="none"/>
        <c:tickLblPos val="nextTo"/>
        <c:crossAx val="187736448"/>
        <c:crosses val="autoZero"/>
        <c:auto val="1"/>
        <c:lblAlgn val="ctr"/>
        <c:lblOffset val="100"/>
        <c:noMultiLvlLbl val="0"/>
      </c:catAx>
      <c:valAx>
        <c:axId val="1877364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77346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[Employee_Salary_Dataset.xlsx]Pivot Tables!PivotTable7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Avg</a:t>
            </a:r>
            <a:r>
              <a:rPr lang="en-IN" baseline="0"/>
              <a:t> Salary by Experience</a:t>
            </a:r>
            <a:endParaRPr lang="en-IN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Tables'!$E$4</c:f>
              <c:strCache>
                <c:ptCount val="1"/>
                <c:pt idx="0">
                  <c:v>Total</c:v>
                </c:pt>
              </c:strCache>
            </c:strRef>
          </c:tx>
          <c:marker>
            <c:symbol val="none"/>
          </c:marker>
          <c:cat>
            <c:strRef>
              <c:f>'Pivot Tables'!$D$5:$D$20</c:f>
              <c:strCache>
                <c:ptCount val="1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10</c:v>
                </c:pt>
                <c:pt idx="7">
                  <c:v>11</c:v>
                </c:pt>
                <c:pt idx="8">
                  <c:v>14</c:v>
                </c:pt>
                <c:pt idx="9">
                  <c:v>15</c:v>
                </c:pt>
                <c:pt idx="10">
                  <c:v>16</c:v>
                </c:pt>
                <c:pt idx="11">
                  <c:v>19</c:v>
                </c:pt>
                <c:pt idx="12">
                  <c:v>20</c:v>
                </c:pt>
                <c:pt idx="13">
                  <c:v>25</c:v>
                </c:pt>
                <c:pt idx="14">
                  <c:v>27</c:v>
                </c:pt>
              </c:strCache>
            </c:strRef>
          </c:cat>
          <c:val>
            <c:numRef>
              <c:f>'Pivot Tables'!$E$5:$E$20</c:f>
              <c:numCache>
                <c:formatCode>General</c:formatCode>
                <c:ptCount val="15"/>
                <c:pt idx="0">
                  <c:v>17250</c:v>
                </c:pt>
                <c:pt idx="1">
                  <c:v>12520</c:v>
                </c:pt>
                <c:pt idx="2">
                  <c:v>95000</c:v>
                </c:pt>
                <c:pt idx="3">
                  <c:v>92725</c:v>
                </c:pt>
                <c:pt idx="4">
                  <c:v>3547500</c:v>
                </c:pt>
                <c:pt idx="5">
                  <c:v>1400000</c:v>
                </c:pt>
                <c:pt idx="6">
                  <c:v>350375</c:v>
                </c:pt>
                <c:pt idx="7">
                  <c:v>220100</c:v>
                </c:pt>
                <c:pt idx="8">
                  <c:v>6000050</c:v>
                </c:pt>
                <c:pt idx="9">
                  <c:v>4005000</c:v>
                </c:pt>
                <c:pt idx="10">
                  <c:v>7600000</c:v>
                </c:pt>
                <c:pt idx="11">
                  <c:v>5033333.333333333</c:v>
                </c:pt>
                <c:pt idx="12">
                  <c:v>1540000</c:v>
                </c:pt>
                <c:pt idx="13">
                  <c:v>5001000</c:v>
                </c:pt>
                <c:pt idx="14">
                  <c:v>10000000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363136"/>
        <c:axId val="188364672"/>
      </c:lineChart>
      <c:catAx>
        <c:axId val="188363136"/>
        <c:scaling>
          <c:orientation val="minMax"/>
        </c:scaling>
        <c:delete val="0"/>
        <c:axPos val="b"/>
        <c:majorTickMark val="out"/>
        <c:minorTickMark val="none"/>
        <c:tickLblPos val="nextTo"/>
        <c:crossAx val="188364672"/>
        <c:crosses val="autoZero"/>
        <c:auto val="1"/>
        <c:lblAlgn val="ctr"/>
        <c:lblOffset val="100"/>
        <c:noMultiLvlLbl val="0"/>
      </c:catAx>
      <c:valAx>
        <c:axId val="1883646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631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[Employee_Salary_Dataset.xlsx]Pivot Tables!PivotTable1</c:name>
    <c:fmtId val="0"/>
  </c:pivotSource>
  <c:chart>
    <c:title>
      <c:tx>
        <c:rich>
          <a:bodyPr/>
          <a:lstStyle/>
          <a:p>
            <a:pPr>
              <a:defRPr/>
            </a:pPr>
            <a:r>
              <a:rPr lang="en-US"/>
              <a:t>Avg</a:t>
            </a:r>
            <a:r>
              <a:rPr lang="en-US" baseline="0"/>
              <a:t> Salary by Age</a:t>
            </a:r>
            <a:endParaRPr lang="en-US"/>
          </a:p>
        </c:rich>
      </c:tx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Tables'!$H$4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'Pivot Tables'!$G$5:$G$23</c:f>
              <c:strCache>
                <c:ptCount val="18"/>
                <c:pt idx="0">
                  <c:v>17</c:v>
                </c:pt>
                <c:pt idx="1">
                  <c:v>18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26</c:v>
                </c:pt>
                <c:pt idx="6">
                  <c:v>27</c:v>
                </c:pt>
                <c:pt idx="7">
                  <c:v>28</c:v>
                </c:pt>
                <c:pt idx="8">
                  <c:v>29</c:v>
                </c:pt>
                <c:pt idx="9">
                  <c:v>34</c:v>
                </c:pt>
                <c:pt idx="10">
                  <c:v>36</c:v>
                </c:pt>
                <c:pt idx="11">
                  <c:v>39</c:v>
                </c:pt>
                <c:pt idx="12">
                  <c:v>40</c:v>
                </c:pt>
                <c:pt idx="13">
                  <c:v>49</c:v>
                </c:pt>
                <c:pt idx="14">
                  <c:v>53</c:v>
                </c:pt>
                <c:pt idx="15">
                  <c:v>54</c:v>
                </c:pt>
                <c:pt idx="16">
                  <c:v>55</c:v>
                </c:pt>
                <c:pt idx="17">
                  <c:v>62</c:v>
                </c:pt>
              </c:strCache>
            </c:strRef>
          </c:cat>
          <c:val>
            <c:numRef>
              <c:f>'Pivot Tables'!$H$5:$H$23</c:f>
              <c:numCache>
                <c:formatCode>General</c:formatCode>
                <c:ptCount val="18"/>
                <c:pt idx="0">
                  <c:v>10000</c:v>
                </c:pt>
                <c:pt idx="1">
                  <c:v>3000</c:v>
                </c:pt>
                <c:pt idx="2">
                  <c:v>17220</c:v>
                </c:pt>
                <c:pt idx="3">
                  <c:v>22500</c:v>
                </c:pt>
                <c:pt idx="4">
                  <c:v>62133.333333333336</c:v>
                </c:pt>
                <c:pt idx="5">
                  <c:v>137500</c:v>
                </c:pt>
                <c:pt idx="6">
                  <c:v>87000</c:v>
                </c:pt>
                <c:pt idx="7">
                  <c:v>250000</c:v>
                </c:pt>
                <c:pt idx="8">
                  <c:v>4122500</c:v>
                </c:pt>
                <c:pt idx="9">
                  <c:v>505000</c:v>
                </c:pt>
                <c:pt idx="10">
                  <c:v>195750</c:v>
                </c:pt>
                <c:pt idx="11">
                  <c:v>6000050</c:v>
                </c:pt>
                <c:pt idx="12">
                  <c:v>220100</c:v>
                </c:pt>
                <c:pt idx="13">
                  <c:v>7600000</c:v>
                </c:pt>
                <c:pt idx="14">
                  <c:v>9300000</c:v>
                </c:pt>
                <c:pt idx="15">
                  <c:v>3636666.6666666665</c:v>
                </c:pt>
                <c:pt idx="16">
                  <c:v>1540000</c:v>
                </c:pt>
                <c:pt idx="17">
                  <c:v>7500500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99616"/>
        <c:axId val="188401152"/>
      </c:barChart>
      <c:catAx>
        <c:axId val="188399616"/>
        <c:scaling>
          <c:orientation val="minMax"/>
        </c:scaling>
        <c:delete val="0"/>
        <c:axPos val="b"/>
        <c:majorTickMark val="out"/>
        <c:minorTickMark val="none"/>
        <c:tickLblPos val="nextTo"/>
        <c:crossAx val="188401152"/>
        <c:crosses val="autoZero"/>
        <c:auto val="1"/>
        <c:lblAlgn val="ctr"/>
        <c:lblOffset val="100"/>
        <c:noMultiLvlLbl val="0"/>
      </c:catAx>
      <c:valAx>
        <c:axId val="1884011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9961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</xdr:colOff>
      <xdr:row>0</xdr:row>
      <xdr:rowOff>147637</xdr:rowOff>
    </xdr:from>
    <xdr:to>
      <xdr:col>12</xdr:col>
      <xdr:colOff>47625</xdr:colOff>
      <xdr:row>15</xdr:row>
      <xdr:rowOff>33337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152400</xdr:colOff>
      <xdr:row>0</xdr:row>
      <xdr:rowOff>147637</xdr:rowOff>
    </xdr:from>
    <xdr:to>
      <xdr:col>19</xdr:col>
      <xdr:colOff>457200</xdr:colOff>
      <xdr:row>15</xdr:row>
      <xdr:rowOff>33337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188119</xdr:rowOff>
    </xdr:from>
    <xdr:to>
      <xdr:col>7</xdr:col>
      <xdr:colOff>416719</xdr:colOff>
      <xdr:row>4</xdr:row>
      <xdr:rowOff>169069</xdr:rowOff>
    </xdr:to>
    <xdr:sp macro="" textlink="">
      <xdr:nvSpPr>
        <xdr:cNvPr id="2" name="TextBox 1"/>
        <xdr:cNvSpPr txBox="1"/>
      </xdr:nvSpPr>
      <xdr:spPr>
        <a:xfrm>
          <a:off x="0" y="188119"/>
          <a:ext cx="5429250" cy="74295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4000"/>
            <a:t>Dashboard</a:t>
          </a:r>
        </a:p>
      </xdr:txBody>
    </xdr:sp>
    <xdr:clientData/>
  </xdr:twoCellAnchor>
  <xdr:twoCellAnchor>
    <xdr:from>
      <xdr:col>0</xdr:col>
      <xdr:colOff>0</xdr:colOff>
      <xdr:row>35</xdr:row>
      <xdr:rowOff>71438</xdr:rowOff>
    </xdr:from>
    <xdr:to>
      <xdr:col>7</xdr:col>
      <xdr:colOff>583407</xdr:colOff>
      <xdr:row>46</xdr:row>
      <xdr:rowOff>166687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6</xdr:row>
      <xdr:rowOff>11904</xdr:rowOff>
    </xdr:from>
    <xdr:to>
      <xdr:col>7</xdr:col>
      <xdr:colOff>583407</xdr:colOff>
      <xdr:row>20</xdr:row>
      <xdr:rowOff>59531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71438</xdr:rowOff>
    </xdr:from>
    <xdr:to>
      <xdr:col>7</xdr:col>
      <xdr:colOff>583406</xdr:colOff>
      <xdr:row>35</xdr:row>
      <xdr:rowOff>52387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97.91283090278" createdVersion="4" refreshedVersion="4" minRefreshableVersion="3" recordCount="35">
  <cacheSource type="worksheet">
    <worksheetSource ref="A1:E36" sheet="Formulas"/>
  </cacheSource>
  <cacheFields count="5">
    <cacheField name="ID" numFmtId="1">
      <sharedItems containsSemiMixedTypes="0" containsString="0" containsNumber="1" containsInteger="1" minValue="1" maxValue="35"/>
    </cacheField>
    <cacheField name="Experience_Years" numFmtId="1">
      <sharedItems containsSemiMixedTypes="0" containsString="0" containsNumber="1" containsInteger="1" minValue="1" maxValue="27" count="15">
        <n v="5"/>
        <n v="1"/>
        <n v="3"/>
        <n v="2"/>
        <n v="25"/>
        <n v="19"/>
        <n v="10"/>
        <n v="15"/>
        <n v="4"/>
        <n v="6"/>
        <n v="14"/>
        <n v="11"/>
        <n v="27"/>
        <n v="20"/>
        <n v="16"/>
      </sharedItems>
    </cacheField>
    <cacheField name="Age" numFmtId="1">
      <sharedItems containsSemiMixedTypes="0" containsString="0" containsNumber="1" containsInteger="1" minValue="17" maxValue="62" count="18">
        <n v="28"/>
        <n v="21"/>
        <n v="23"/>
        <n v="22"/>
        <n v="17"/>
        <n v="62"/>
        <n v="54"/>
        <n v="36"/>
        <n v="26"/>
        <n v="29"/>
        <n v="39"/>
        <n v="40"/>
        <n v="27"/>
        <n v="34"/>
        <n v="18"/>
        <n v="55"/>
        <n v="53"/>
        <n v="49"/>
      </sharedItems>
    </cacheField>
    <cacheField name="Gender" numFmtId="49">
      <sharedItems count="2">
        <s v="Female"/>
        <s v="Male"/>
      </sharedItems>
    </cacheField>
    <cacheField name="Salary" numFmtId="164">
      <sharedItems containsSemiMixedTypes="0" containsString="0" containsNumber="1" containsInteger="1" minValue="3000" maxValue="1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5">
  <r>
    <n v="1"/>
    <x v="0"/>
    <x v="0"/>
    <x v="0"/>
    <n v="250000"/>
  </r>
  <r>
    <n v="2"/>
    <x v="1"/>
    <x v="1"/>
    <x v="1"/>
    <n v="50000"/>
  </r>
  <r>
    <n v="3"/>
    <x v="2"/>
    <x v="2"/>
    <x v="0"/>
    <n v="170000"/>
  </r>
  <r>
    <n v="4"/>
    <x v="3"/>
    <x v="3"/>
    <x v="1"/>
    <n v="25000"/>
  </r>
  <r>
    <n v="5"/>
    <x v="1"/>
    <x v="4"/>
    <x v="1"/>
    <n v="10000"/>
  </r>
  <r>
    <n v="6"/>
    <x v="4"/>
    <x v="5"/>
    <x v="1"/>
    <n v="5001000"/>
  </r>
  <r>
    <n v="7"/>
    <x v="5"/>
    <x v="6"/>
    <x v="0"/>
    <n v="800000"/>
  </r>
  <r>
    <n v="8"/>
    <x v="3"/>
    <x v="1"/>
    <x v="0"/>
    <n v="9000"/>
  </r>
  <r>
    <n v="9"/>
    <x v="6"/>
    <x v="7"/>
    <x v="0"/>
    <n v="61500"/>
  </r>
  <r>
    <n v="10"/>
    <x v="7"/>
    <x v="6"/>
    <x v="0"/>
    <n v="650000"/>
  </r>
  <r>
    <n v="11"/>
    <x v="8"/>
    <x v="8"/>
    <x v="0"/>
    <n v="250000"/>
  </r>
  <r>
    <n v="12"/>
    <x v="9"/>
    <x v="9"/>
    <x v="1"/>
    <n v="1400000"/>
  </r>
  <r>
    <n v="13"/>
    <x v="10"/>
    <x v="10"/>
    <x v="1"/>
    <n v="6000050"/>
  </r>
  <r>
    <n v="14"/>
    <x v="11"/>
    <x v="11"/>
    <x v="1"/>
    <n v="220100"/>
  </r>
  <r>
    <n v="15"/>
    <x v="3"/>
    <x v="2"/>
    <x v="1"/>
    <n v="7500"/>
  </r>
  <r>
    <n v="16"/>
    <x v="8"/>
    <x v="12"/>
    <x v="0"/>
    <n v="87000"/>
  </r>
  <r>
    <n v="17"/>
    <x v="6"/>
    <x v="13"/>
    <x v="0"/>
    <n v="930000"/>
  </r>
  <r>
    <n v="18"/>
    <x v="7"/>
    <x v="6"/>
    <x v="0"/>
    <n v="7900000"/>
  </r>
  <r>
    <n v="19"/>
    <x v="3"/>
    <x v="1"/>
    <x v="1"/>
    <n v="15000"/>
  </r>
  <r>
    <n v="20"/>
    <x v="6"/>
    <x v="7"/>
    <x v="1"/>
    <n v="330000"/>
  </r>
  <r>
    <n v="21"/>
    <x v="7"/>
    <x v="6"/>
    <x v="1"/>
    <n v="6570000"/>
  </r>
  <r>
    <n v="22"/>
    <x v="8"/>
    <x v="8"/>
    <x v="1"/>
    <n v="25000"/>
  </r>
  <r>
    <n v="23"/>
    <x v="0"/>
    <x v="9"/>
    <x v="1"/>
    <n v="6845000"/>
  </r>
  <r>
    <n v="24"/>
    <x v="1"/>
    <x v="1"/>
    <x v="0"/>
    <n v="6000"/>
  </r>
  <r>
    <n v="25"/>
    <x v="8"/>
    <x v="2"/>
    <x v="0"/>
    <n v="8900"/>
  </r>
  <r>
    <n v="26"/>
    <x v="2"/>
    <x v="3"/>
    <x v="0"/>
    <n v="20000"/>
  </r>
  <r>
    <n v="27"/>
    <x v="1"/>
    <x v="14"/>
    <x v="1"/>
    <n v="3000"/>
  </r>
  <r>
    <n v="28"/>
    <x v="12"/>
    <x v="5"/>
    <x v="0"/>
    <n v="10000000"/>
  </r>
  <r>
    <n v="29"/>
    <x v="5"/>
    <x v="6"/>
    <x v="0"/>
    <n v="5000000"/>
  </r>
  <r>
    <n v="30"/>
    <x v="3"/>
    <x v="1"/>
    <x v="0"/>
    <n v="6100"/>
  </r>
  <r>
    <n v="31"/>
    <x v="6"/>
    <x v="13"/>
    <x v="1"/>
    <n v="80000"/>
  </r>
  <r>
    <n v="32"/>
    <x v="7"/>
    <x v="6"/>
    <x v="1"/>
    <n v="900000"/>
  </r>
  <r>
    <n v="33"/>
    <x v="13"/>
    <x v="15"/>
    <x v="0"/>
    <n v="1540000"/>
  </r>
  <r>
    <n v="34"/>
    <x v="5"/>
    <x v="16"/>
    <x v="0"/>
    <n v="9300000"/>
  </r>
  <r>
    <n v="35"/>
    <x v="14"/>
    <x v="17"/>
    <x v="1"/>
    <n v="76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4:H23" firstHeaderRow="1" firstDataRow="1" firstDataCol="1"/>
  <pivotFields count="5">
    <pivotField numFmtId="1" showAll="0"/>
    <pivotField numFmtId="1" showAll="0"/>
    <pivotField axis="axisRow" numFmtId="1" showAll="0">
      <items count="19">
        <item x="4"/>
        <item x="14"/>
        <item x="1"/>
        <item x="3"/>
        <item x="2"/>
        <item x="8"/>
        <item x="12"/>
        <item x="0"/>
        <item x="9"/>
        <item x="13"/>
        <item x="7"/>
        <item x="10"/>
        <item x="11"/>
        <item x="17"/>
        <item x="16"/>
        <item x="6"/>
        <item x="15"/>
        <item x="5"/>
        <item t="default"/>
      </items>
    </pivotField>
    <pivotField showAll="0"/>
    <pivotField dataField="1" numFmtId="164"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Average of Salary" fld="4" subtotal="average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7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D4:E20" firstHeaderRow="1" firstDataRow="1" firstDataCol="1"/>
  <pivotFields count="5">
    <pivotField numFmtId="1" showAll="0"/>
    <pivotField axis="axisRow" numFmtId="1" showAll="0">
      <items count="16">
        <item x="1"/>
        <item x="3"/>
        <item x="2"/>
        <item x="8"/>
        <item x="0"/>
        <item x="9"/>
        <item x="6"/>
        <item x="11"/>
        <item x="10"/>
        <item x="7"/>
        <item x="14"/>
        <item x="5"/>
        <item x="13"/>
        <item x="4"/>
        <item x="12"/>
        <item t="default"/>
      </items>
    </pivotField>
    <pivotField numFmtId="1" showAll="0"/>
    <pivotField showAll="0">
      <items count="3">
        <item x="0"/>
        <item x="1"/>
        <item t="default"/>
      </items>
    </pivotField>
    <pivotField dataField="1" numFmtId="164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Average of Salary" fld="4" subtotal="average" baseField="0" baseItem="7335368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4:B7" firstHeaderRow="1" firstDataRow="1" firstDataCol="1"/>
  <pivotFields count="5">
    <pivotField numFmtId="1" showAll="0"/>
    <pivotField numFmtId="1" showAll="0"/>
    <pivotField numFmtId="1" showAll="0"/>
    <pivotField axis="axisRow" showAll="0">
      <items count="3">
        <item x="0"/>
        <item x="1"/>
        <item t="default"/>
      </items>
    </pivotField>
    <pivotField dataField="1" numFmtId="164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Salary" fld="4" subtotal="average" baseField="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activeCell="K24" sqref="K24"/>
    </sheetView>
  </sheetViews>
  <sheetFormatPr defaultRowHeight="15" x14ac:dyDescent="0.25"/>
  <cols>
    <col min="1" max="3" width="9.140625" style="1"/>
    <col min="4" max="4" width="9.140625" style="2"/>
    <col min="5" max="5" width="15" style="3" bestFit="1" customWidth="1"/>
    <col min="11" max="11" width="13.42578125" bestFit="1" customWidth="1"/>
    <col min="12" max="12" width="9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25">
      <c r="A2" s="1">
        <v>1</v>
      </c>
      <c r="B2" s="1">
        <v>5</v>
      </c>
      <c r="C2" s="1">
        <v>28</v>
      </c>
      <c r="D2" s="2" t="s">
        <v>5</v>
      </c>
      <c r="E2" s="3">
        <v>250000</v>
      </c>
      <c r="H2" t="str">
        <f>IF(C2:C36&lt;40,"Young","Old")</f>
        <v>Young</v>
      </c>
      <c r="I2">
        <f>COUNTIF(E2:E36,"&lt;=7500")</f>
        <v>4</v>
      </c>
      <c r="J2">
        <f>VLOOKUP(A18,A2:E36,2,FALSE)</f>
        <v>10</v>
      </c>
      <c r="K2" s="3">
        <f>AVERAGE(E2:E36)</f>
        <v>2059147.142857143</v>
      </c>
      <c r="L2" s="3">
        <f>MIN(E2:E36)</f>
        <v>3000</v>
      </c>
    </row>
    <row r="3" spans="1:12" x14ac:dyDescent="0.25">
      <c r="A3" s="1">
        <v>2</v>
      </c>
      <c r="B3" s="1">
        <v>1</v>
      </c>
      <c r="C3" s="1">
        <v>21</v>
      </c>
      <c r="D3" s="2" t="s">
        <v>6</v>
      </c>
      <c r="E3" s="3">
        <v>50000</v>
      </c>
      <c r="H3" t="str">
        <f t="shared" ref="H3:H36" si="0">IF(C3:C37&lt;40,"Young","Old")</f>
        <v>Young</v>
      </c>
    </row>
    <row r="4" spans="1:12" x14ac:dyDescent="0.25">
      <c r="A4" s="1">
        <v>3</v>
      </c>
      <c r="B4" s="1">
        <v>3</v>
      </c>
      <c r="C4" s="1">
        <v>23</v>
      </c>
      <c r="D4" s="2" t="s">
        <v>5</v>
      </c>
      <c r="E4" s="3">
        <v>170000</v>
      </c>
      <c r="H4" t="str">
        <f t="shared" si="0"/>
        <v>Young</v>
      </c>
    </row>
    <row r="5" spans="1:12" x14ac:dyDescent="0.25">
      <c r="A5" s="1">
        <v>4</v>
      </c>
      <c r="B5" s="1">
        <v>2</v>
      </c>
      <c r="C5" s="1">
        <v>22</v>
      </c>
      <c r="D5" s="2" t="s">
        <v>6</v>
      </c>
      <c r="E5" s="3">
        <v>25000</v>
      </c>
      <c r="H5" t="str">
        <f t="shared" si="0"/>
        <v>Young</v>
      </c>
    </row>
    <row r="6" spans="1:12" x14ac:dyDescent="0.25">
      <c r="A6" s="1">
        <v>5</v>
      </c>
      <c r="B6" s="1">
        <v>1</v>
      </c>
      <c r="C6" s="1">
        <v>17</v>
      </c>
      <c r="D6" s="2" t="s">
        <v>6</v>
      </c>
      <c r="E6" s="3">
        <v>10000</v>
      </c>
      <c r="H6" t="str">
        <f t="shared" si="0"/>
        <v>Young</v>
      </c>
    </row>
    <row r="7" spans="1:12" x14ac:dyDescent="0.25">
      <c r="A7" s="1">
        <v>6</v>
      </c>
      <c r="B7" s="1">
        <v>25</v>
      </c>
      <c r="C7" s="1">
        <v>62</v>
      </c>
      <c r="D7" s="2" t="s">
        <v>6</v>
      </c>
      <c r="E7" s="3">
        <v>5001000</v>
      </c>
      <c r="H7" t="str">
        <f t="shared" si="0"/>
        <v>Old</v>
      </c>
    </row>
    <row r="8" spans="1:12" x14ac:dyDescent="0.25">
      <c r="A8" s="1">
        <v>7</v>
      </c>
      <c r="B8" s="1">
        <v>19</v>
      </c>
      <c r="C8" s="1">
        <v>54</v>
      </c>
      <c r="D8" s="2" t="s">
        <v>5</v>
      </c>
      <c r="E8" s="3">
        <v>800000</v>
      </c>
      <c r="H8" t="str">
        <f t="shared" si="0"/>
        <v>Old</v>
      </c>
    </row>
    <row r="9" spans="1:12" x14ac:dyDescent="0.25">
      <c r="A9" s="1">
        <v>8</v>
      </c>
      <c r="B9" s="1">
        <v>2</v>
      </c>
      <c r="C9" s="1">
        <v>21</v>
      </c>
      <c r="D9" s="2" t="s">
        <v>5</v>
      </c>
      <c r="E9" s="3">
        <v>9000</v>
      </c>
      <c r="H9" t="str">
        <f t="shared" si="0"/>
        <v>Young</v>
      </c>
    </row>
    <row r="10" spans="1:12" x14ac:dyDescent="0.25">
      <c r="A10" s="1">
        <v>9</v>
      </c>
      <c r="B10" s="1">
        <v>10</v>
      </c>
      <c r="C10" s="1">
        <v>36</v>
      </c>
      <c r="D10" s="2" t="s">
        <v>5</v>
      </c>
      <c r="E10" s="3">
        <v>61500</v>
      </c>
      <c r="H10" t="str">
        <f t="shared" si="0"/>
        <v>Young</v>
      </c>
    </row>
    <row r="11" spans="1:12" x14ac:dyDescent="0.25">
      <c r="A11" s="1">
        <v>10</v>
      </c>
      <c r="B11" s="1">
        <v>15</v>
      </c>
      <c r="C11" s="1">
        <v>54</v>
      </c>
      <c r="D11" s="2" t="s">
        <v>5</v>
      </c>
      <c r="E11" s="3">
        <v>650000</v>
      </c>
      <c r="H11" t="str">
        <f t="shared" si="0"/>
        <v>Old</v>
      </c>
    </row>
    <row r="12" spans="1:12" x14ac:dyDescent="0.25">
      <c r="A12" s="1">
        <v>11</v>
      </c>
      <c r="B12" s="1">
        <v>4</v>
      </c>
      <c r="C12" s="1">
        <v>26</v>
      </c>
      <c r="D12" s="2" t="s">
        <v>5</v>
      </c>
      <c r="E12" s="3">
        <v>250000</v>
      </c>
      <c r="H12" t="str">
        <f t="shared" si="0"/>
        <v>Young</v>
      </c>
    </row>
    <row r="13" spans="1:12" x14ac:dyDescent="0.25">
      <c r="A13" s="1">
        <v>12</v>
      </c>
      <c r="B13" s="1">
        <v>6</v>
      </c>
      <c r="C13" s="1">
        <v>29</v>
      </c>
      <c r="D13" s="2" t="s">
        <v>6</v>
      </c>
      <c r="E13" s="3">
        <v>1400000</v>
      </c>
      <c r="H13" t="str">
        <f t="shared" si="0"/>
        <v>Young</v>
      </c>
    </row>
    <row r="14" spans="1:12" x14ac:dyDescent="0.25">
      <c r="A14" s="1">
        <v>13</v>
      </c>
      <c r="B14" s="1">
        <v>14</v>
      </c>
      <c r="C14" s="1">
        <v>39</v>
      </c>
      <c r="D14" s="2" t="s">
        <v>6</v>
      </c>
      <c r="E14" s="3">
        <v>6000050</v>
      </c>
      <c r="H14" t="str">
        <f t="shared" si="0"/>
        <v>Young</v>
      </c>
    </row>
    <row r="15" spans="1:12" x14ac:dyDescent="0.25">
      <c r="A15" s="1">
        <v>14</v>
      </c>
      <c r="B15" s="1">
        <v>11</v>
      </c>
      <c r="C15" s="1">
        <v>40</v>
      </c>
      <c r="D15" s="2" t="s">
        <v>6</v>
      </c>
      <c r="E15" s="3">
        <v>220100</v>
      </c>
      <c r="H15" t="str">
        <f t="shared" si="0"/>
        <v>Old</v>
      </c>
    </row>
    <row r="16" spans="1:12" x14ac:dyDescent="0.25">
      <c r="A16" s="1">
        <v>15</v>
      </c>
      <c r="B16" s="1">
        <v>2</v>
      </c>
      <c r="C16" s="1">
        <v>23</v>
      </c>
      <c r="D16" s="2" t="s">
        <v>6</v>
      </c>
      <c r="E16" s="3">
        <v>7500</v>
      </c>
      <c r="H16" t="str">
        <f t="shared" si="0"/>
        <v>Young</v>
      </c>
    </row>
    <row r="17" spans="1:8" x14ac:dyDescent="0.25">
      <c r="A17" s="1">
        <v>16</v>
      </c>
      <c r="B17" s="1">
        <v>4</v>
      </c>
      <c r="C17" s="1">
        <v>27</v>
      </c>
      <c r="D17" s="2" t="s">
        <v>5</v>
      </c>
      <c r="E17" s="3">
        <v>87000</v>
      </c>
      <c r="H17" t="str">
        <f t="shared" si="0"/>
        <v>Young</v>
      </c>
    </row>
    <row r="18" spans="1:8" x14ac:dyDescent="0.25">
      <c r="A18" s="1">
        <v>17</v>
      </c>
      <c r="B18" s="1">
        <v>10</v>
      </c>
      <c r="C18" s="1">
        <v>34</v>
      </c>
      <c r="D18" s="2" t="s">
        <v>5</v>
      </c>
      <c r="E18" s="3">
        <v>930000</v>
      </c>
      <c r="H18" t="str">
        <f t="shared" si="0"/>
        <v>Young</v>
      </c>
    </row>
    <row r="19" spans="1:8" x14ac:dyDescent="0.25">
      <c r="A19" s="1">
        <v>18</v>
      </c>
      <c r="B19" s="1">
        <v>15</v>
      </c>
      <c r="C19" s="1">
        <v>54</v>
      </c>
      <c r="D19" s="2" t="s">
        <v>5</v>
      </c>
      <c r="E19" s="3">
        <v>7900000</v>
      </c>
      <c r="H19" t="str">
        <f t="shared" si="0"/>
        <v>Old</v>
      </c>
    </row>
    <row r="20" spans="1:8" x14ac:dyDescent="0.25">
      <c r="A20" s="1">
        <v>19</v>
      </c>
      <c r="B20" s="1">
        <v>2</v>
      </c>
      <c r="C20" s="1">
        <v>21</v>
      </c>
      <c r="D20" s="2" t="s">
        <v>6</v>
      </c>
      <c r="E20" s="3">
        <v>15000</v>
      </c>
      <c r="H20" t="str">
        <f t="shared" si="0"/>
        <v>Young</v>
      </c>
    </row>
    <row r="21" spans="1:8" x14ac:dyDescent="0.25">
      <c r="A21" s="1">
        <v>20</v>
      </c>
      <c r="B21" s="1">
        <v>10</v>
      </c>
      <c r="C21" s="1">
        <v>36</v>
      </c>
      <c r="D21" s="2" t="s">
        <v>6</v>
      </c>
      <c r="E21" s="3">
        <v>330000</v>
      </c>
      <c r="H21" t="str">
        <f t="shared" si="0"/>
        <v>Young</v>
      </c>
    </row>
    <row r="22" spans="1:8" x14ac:dyDescent="0.25">
      <c r="A22" s="1">
        <v>21</v>
      </c>
      <c r="B22" s="1">
        <v>15</v>
      </c>
      <c r="C22" s="1">
        <v>54</v>
      </c>
      <c r="D22" s="2" t="s">
        <v>6</v>
      </c>
      <c r="E22" s="3">
        <v>6570000</v>
      </c>
      <c r="H22" t="str">
        <f t="shared" si="0"/>
        <v>Old</v>
      </c>
    </row>
    <row r="23" spans="1:8" x14ac:dyDescent="0.25">
      <c r="A23" s="1">
        <v>22</v>
      </c>
      <c r="B23" s="1">
        <v>4</v>
      </c>
      <c r="C23" s="1">
        <v>26</v>
      </c>
      <c r="D23" s="2" t="s">
        <v>6</v>
      </c>
      <c r="E23" s="3">
        <v>25000</v>
      </c>
      <c r="H23" t="str">
        <f t="shared" si="0"/>
        <v>Young</v>
      </c>
    </row>
    <row r="24" spans="1:8" x14ac:dyDescent="0.25">
      <c r="A24" s="1">
        <v>23</v>
      </c>
      <c r="B24" s="1">
        <v>5</v>
      </c>
      <c r="C24" s="1">
        <v>29</v>
      </c>
      <c r="D24" s="2" t="s">
        <v>6</v>
      </c>
      <c r="E24" s="3">
        <v>6845000</v>
      </c>
      <c r="H24" t="str">
        <f t="shared" si="0"/>
        <v>Young</v>
      </c>
    </row>
    <row r="25" spans="1:8" x14ac:dyDescent="0.25">
      <c r="A25" s="1">
        <v>24</v>
      </c>
      <c r="B25" s="1">
        <v>1</v>
      </c>
      <c r="C25" s="1">
        <v>21</v>
      </c>
      <c r="D25" s="2" t="s">
        <v>5</v>
      </c>
      <c r="E25" s="3">
        <v>6000</v>
      </c>
      <c r="H25" t="str">
        <f t="shared" si="0"/>
        <v>Young</v>
      </c>
    </row>
    <row r="26" spans="1:8" x14ac:dyDescent="0.25">
      <c r="A26" s="1">
        <v>25</v>
      </c>
      <c r="B26" s="1">
        <v>4</v>
      </c>
      <c r="C26" s="1">
        <v>23</v>
      </c>
      <c r="D26" s="2" t="s">
        <v>5</v>
      </c>
      <c r="E26" s="3">
        <v>8900</v>
      </c>
      <c r="H26" t="str">
        <f t="shared" si="0"/>
        <v>Young</v>
      </c>
    </row>
    <row r="27" spans="1:8" x14ac:dyDescent="0.25">
      <c r="A27" s="1">
        <v>26</v>
      </c>
      <c r="B27" s="1">
        <v>3</v>
      </c>
      <c r="C27" s="1">
        <v>22</v>
      </c>
      <c r="D27" s="2" t="s">
        <v>5</v>
      </c>
      <c r="E27" s="3">
        <v>20000</v>
      </c>
      <c r="H27" t="str">
        <f t="shared" si="0"/>
        <v>Young</v>
      </c>
    </row>
    <row r="28" spans="1:8" x14ac:dyDescent="0.25">
      <c r="A28" s="1">
        <v>27</v>
      </c>
      <c r="B28" s="1">
        <v>1</v>
      </c>
      <c r="C28" s="1">
        <v>18</v>
      </c>
      <c r="D28" s="2" t="s">
        <v>6</v>
      </c>
      <c r="E28" s="3">
        <v>3000</v>
      </c>
      <c r="H28" t="str">
        <f t="shared" si="0"/>
        <v>Young</v>
      </c>
    </row>
    <row r="29" spans="1:8" x14ac:dyDescent="0.25">
      <c r="A29" s="1">
        <v>28</v>
      </c>
      <c r="B29" s="1">
        <v>27</v>
      </c>
      <c r="C29" s="1">
        <v>62</v>
      </c>
      <c r="D29" s="2" t="s">
        <v>5</v>
      </c>
      <c r="E29" s="3">
        <v>10000000</v>
      </c>
      <c r="H29" t="str">
        <f t="shared" si="0"/>
        <v>Old</v>
      </c>
    </row>
    <row r="30" spans="1:8" x14ac:dyDescent="0.25">
      <c r="A30" s="1">
        <v>29</v>
      </c>
      <c r="B30" s="1">
        <v>19</v>
      </c>
      <c r="C30" s="1">
        <v>54</v>
      </c>
      <c r="D30" s="2" t="s">
        <v>5</v>
      </c>
      <c r="E30" s="3">
        <v>5000000</v>
      </c>
      <c r="H30" t="str">
        <f t="shared" si="0"/>
        <v>Old</v>
      </c>
    </row>
    <row r="31" spans="1:8" x14ac:dyDescent="0.25">
      <c r="A31" s="1">
        <v>30</v>
      </c>
      <c r="B31" s="1">
        <v>2</v>
      </c>
      <c r="C31" s="1">
        <v>21</v>
      </c>
      <c r="D31" s="2" t="s">
        <v>5</v>
      </c>
      <c r="E31" s="3">
        <v>6100</v>
      </c>
      <c r="H31" t="str">
        <f>IF(C31:C65&lt;40,"Young","Old")</f>
        <v>Young</v>
      </c>
    </row>
    <row r="32" spans="1:8" x14ac:dyDescent="0.25">
      <c r="A32" s="1">
        <v>31</v>
      </c>
      <c r="B32" s="1">
        <v>10</v>
      </c>
      <c r="C32" s="1">
        <v>34</v>
      </c>
      <c r="D32" s="2" t="s">
        <v>6</v>
      </c>
      <c r="E32" s="3">
        <v>80000</v>
      </c>
      <c r="H32" t="str">
        <f t="shared" si="0"/>
        <v>Young</v>
      </c>
    </row>
    <row r="33" spans="1:8" x14ac:dyDescent="0.25">
      <c r="A33" s="1">
        <v>32</v>
      </c>
      <c r="B33" s="1">
        <v>15</v>
      </c>
      <c r="C33" s="1">
        <v>54</v>
      </c>
      <c r="D33" s="2" t="s">
        <v>6</v>
      </c>
      <c r="E33" s="3">
        <v>900000</v>
      </c>
      <c r="H33" t="str">
        <f t="shared" si="0"/>
        <v>Old</v>
      </c>
    </row>
    <row r="34" spans="1:8" x14ac:dyDescent="0.25">
      <c r="A34" s="1">
        <v>33</v>
      </c>
      <c r="B34" s="1">
        <v>20</v>
      </c>
      <c r="C34" s="1">
        <v>55</v>
      </c>
      <c r="D34" s="2" t="s">
        <v>5</v>
      </c>
      <c r="E34" s="3">
        <v>1540000</v>
      </c>
      <c r="H34" t="str">
        <f t="shared" si="0"/>
        <v>Old</v>
      </c>
    </row>
    <row r="35" spans="1:8" x14ac:dyDescent="0.25">
      <c r="A35" s="1">
        <v>34</v>
      </c>
      <c r="B35" s="1">
        <v>19</v>
      </c>
      <c r="C35" s="1">
        <v>53</v>
      </c>
      <c r="D35" s="2" t="s">
        <v>5</v>
      </c>
      <c r="E35" s="3">
        <v>9300000</v>
      </c>
      <c r="H35" t="str">
        <f t="shared" si="0"/>
        <v>Old</v>
      </c>
    </row>
    <row r="36" spans="1:8" x14ac:dyDescent="0.25">
      <c r="A36" s="1">
        <v>35</v>
      </c>
      <c r="B36" s="1">
        <v>16</v>
      </c>
      <c r="C36" s="1">
        <v>49</v>
      </c>
      <c r="D36" s="2" t="s">
        <v>6</v>
      </c>
      <c r="E36" s="3">
        <v>7600000</v>
      </c>
      <c r="H36" t="str">
        <f t="shared" si="0"/>
        <v>Old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topLeftCell="B1" workbookViewId="0">
      <selection activeCell="H24" sqref="H24"/>
    </sheetView>
  </sheetViews>
  <sheetFormatPr defaultRowHeight="15" x14ac:dyDescent="0.25"/>
  <cols>
    <col min="1" max="3" width="9.140625" style="1"/>
    <col min="4" max="4" width="9.140625" style="2"/>
    <col min="5" max="5" width="15" style="3" bestFit="1" customWidth="1"/>
    <col min="7" max="7" width="17.5703125" customWidth="1"/>
    <col min="11" max="11" width="13.42578125" bestFit="1" customWidth="1"/>
    <col min="12" max="12" width="9.710937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H1" s="5"/>
      <c r="I1" s="5"/>
      <c r="J1" s="5"/>
      <c r="K1" s="5"/>
      <c r="L1" s="5"/>
    </row>
    <row r="2" spans="1:12" x14ac:dyDescent="0.25">
      <c r="A2" s="1">
        <v>1</v>
      </c>
      <c r="B2" s="1">
        <v>5</v>
      </c>
      <c r="C2" s="1">
        <v>28</v>
      </c>
      <c r="D2" s="2" t="s">
        <v>5</v>
      </c>
      <c r="E2" s="3">
        <v>250000</v>
      </c>
      <c r="J2" s="2"/>
      <c r="K2" s="3"/>
      <c r="L2" s="3"/>
    </row>
    <row r="3" spans="1:12" x14ac:dyDescent="0.25">
      <c r="A3" s="1">
        <v>2</v>
      </c>
      <c r="B3" s="1">
        <v>1</v>
      </c>
      <c r="C3" s="1">
        <v>21</v>
      </c>
      <c r="D3" s="2" t="s">
        <v>6</v>
      </c>
      <c r="E3" s="3">
        <v>50000</v>
      </c>
    </row>
    <row r="4" spans="1:12" x14ac:dyDescent="0.25">
      <c r="A4" s="1">
        <v>3</v>
      </c>
      <c r="B4" s="1">
        <v>3</v>
      </c>
      <c r="C4" s="1">
        <v>23</v>
      </c>
      <c r="D4" s="2" t="s">
        <v>5</v>
      </c>
      <c r="E4" s="3">
        <v>170000</v>
      </c>
    </row>
    <row r="5" spans="1:12" x14ac:dyDescent="0.25">
      <c r="A5" s="1">
        <v>4</v>
      </c>
      <c r="B5" s="1">
        <v>2</v>
      </c>
      <c r="C5" s="1">
        <v>22</v>
      </c>
      <c r="D5" s="2" t="s">
        <v>6</v>
      </c>
      <c r="E5" s="3">
        <v>25000</v>
      </c>
    </row>
    <row r="6" spans="1:12" x14ac:dyDescent="0.25">
      <c r="A6" s="1">
        <v>5</v>
      </c>
      <c r="B6" s="1">
        <v>1</v>
      </c>
      <c r="C6" s="1">
        <v>17</v>
      </c>
      <c r="D6" s="2" t="s">
        <v>6</v>
      </c>
      <c r="E6" s="3">
        <v>10000</v>
      </c>
    </row>
    <row r="7" spans="1:12" x14ac:dyDescent="0.25">
      <c r="A7" s="1">
        <v>6</v>
      </c>
      <c r="B7" s="1">
        <v>25</v>
      </c>
      <c r="C7" s="1">
        <v>62</v>
      </c>
      <c r="D7" s="2" t="s">
        <v>6</v>
      </c>
      <c r="E7" s="3">
        <v>5001000</v>
      </c>
    </row>
    <row r="8" spans="1:12" x14ac:dyDescent="0.25">
      <c r="A8" s="1">
        <v>7</v>
      </c>
      <c r="B8" s="1">
        <v>19</v>
      </c>
      <c r="C8" s="1">
        <v>54</v>
      </c>
      <c r="D8" s="2" t="s">
        <v>5</v>
      </c>
      <c r="E8" s="3">
        <v>800000</v>
      </c>
    </row>
    <row r="9" spans="1:12" x14ac:dyDescent="0.25">
      <c r="A9" s="1">
        <v>8</v>
      </c>
      <c r="B9" s="1">
        <v>2</v>
      </c>
      <c r="C9" s="1">
        <v>21</v>
      </c>
      <c r="D9" s="2" t="s">
        <v>5</v>
      </c>
      <c r="E9" s="3">
        <v>9000</v>
      </c>
    </row>
    <row r="10" spans="1:12" x14ac:dyDescent="0.25">
      <c r="A10" s="1">
        <v>9</v>
      </c>
      <c r="B10" s="1">
        <v>10</v>
      </c>
      <c r="C10" s="1">
        <v>36</v>
      </c>
      <c r="D10" s="2" t="s">
        <v>5</v>
      </c>
      <c r="E10" s="3">
        <v>61500</v>
      </c>
    </row>
    <row r="11" spans="1:12" x14ac:dyDescent="0.25">
      <c r="A11" s="1">
        <v>10</v>
      </c>
      <c r="B11" s="1">
        <v>15</v>
      </c>
      <c r="C11" s="1">
        <v>54</v>
      </c>
      <c r="D11" s="2" t="s">
        <v>5</v>
      </c>
      <c r="E11" s="3">
        <v>650000</v>
      </c>
    </row>
    <row r="12" spans="1:12" x14ac:dyDescent="0.25">
      <c r="A12" s="1">
        <v>11</v>
      </c>
      <c r="B12" s="1">
        <v>4</v>
      </c>
      <c r="C12" s="1">
        <v>26</v>
      </c>
      <c r="D12" s="2" t="s">
        <v>5</v>
      </c>
      <c r="E12" s="3">
        <v>250000</v>
      </c>
    </row>
    <row r="13" spans="1:12" x14ac:dyDescent="0.25">
      <c r="A13" s="1">
        <v>12</v>
      </c>
      <c r="B13" s="1">
        <v>6</v>
      </c>
      <c r="C13" s="1">
        <v>29</v>
      </c>
      <c r="D13" s="2" t="s">
        <v>6</v>
      </c>
      <c r="E13" s="3">
        <v>1400000</v>
      </c>
    </row>
    <row r="14" spans="1:12" x14ac:dyDescent="0.25">
      <c r="A14" s="1">
        <v>13</v>
      </c>
      <c r="B14" s="1">
        <v>14</v>
      </c>
      <c r="C14" s="1">
        <v>39</v>
      </c>
      <c r="D14" s="2" t="s">
        <v>6</v>
      </c>
      <c r="E14" s="3">
        <v>6000050</v>
      </c>
    </row>
    <row r="15" spans="1:12" x14ac:dyDescent="0.25">
      <c r="A15" s="1">
        <v>14</v>
      </c>
      <c r="B15" s="1">
        <v>11</v>
      </c>
      <c r="C15" s="1">
        <v>40</v>
      </c>
      <c r="D15" s="2" t="s">
        <v>6</v>
      </c>
      <c r="E15" s="3">
        <v>220100</v>
      </c>
    </row>
    <row r="16" spans="1:12" x14ac:dyDescent="0.25">
      <c r="A16" s="1">
        <v>15</v>
      </c>
      <c r="B16" s="1">
        <v>2</v>
      </c>
      <c r="C16" s="1">
        <v>23</v>
      </c>
      <c r="D16" s="2" t="s">
        <v>6</v>
      </c>
      <c r="E16" s="3">
        <v>7500</v>
      </c>
    </row>
    <row r="17" spans="1:5" x14ac:dyDescent="0.25">
      <c r="A17" s="1">
        <v>16</v>
      </c>
      <c r="B17" s="1">
        <v>4</v>
      </c>
      <c r="C17" s="1">
        <v>27</v>
      </c>
      <c r="D17" s="2" t="s">
        <v>5</v>
      </c>
      <c r="E17" s="3">
        <v>87000</v>
      </c>
    </row>
    <row r="18" spans="1:5" x14ac:dyDescent="0.25">
      <c r="A18" s="1">
        <v>17</v>
      </c>
      <c r="B18" s="1">
        <v>10</v>
      </c>
      <c r="C18" s="1">
        <v>34</v>
      </c>
      <c r="D18" s="2" t="s">
        <v>5</v>
      </c>
      <c r="E18" s="3">
        <v>930000</v>
      </c>
    </row>
    <row r="19" spans="1:5" x14ac:dyDescent="0.25">
      <c r="A19" s="1">
        <v>18</v>
      </c>
      <c r="B19" s="1">
        <v>15</v>
      </c>
      <c r="C19" s="1">
        <v>54</v>
      </c>
      <c r="D19" s="2" t="s">
        <v>5</v>
      </c>
      <c r="E19" s="3">
        <v>7900000</v>
      </c>
    </row>
    <row r="20" spans="1:5" x14ac:dyDescent="0.25">
      <c r="A20" s="1">
        <v>19</v>
      </c>
      <c r="B20" s="1">
        <v>2</v>
      </c>
      <c r="C20" s="1">
        <v>21</v>
      </c>
      <c r="D20" s="2" t="s">
        <v>6</v>
      </c>
      <c r="E20" s="3">
        <v>15000</v>
      </c>
    </row>
    <row r="21" spans="1:5" x14ac:dyDescent="0.25">
      <c r="A21" s="1">
        <v>20</v>
      </c>
      <c r="B21" s="1">
        <v>10</v>
      </c>
      <c r="C21" s="1">
        <v>36</v>
      </c>
      <c r="D21" s="2" t="s">
        <v>6</v>
      </c>
      <c r="E21" s="3">
        <v>330000</v>
      </c>
    </row>
    <row r="22" spans="1:5" x14ac:dyDescent="0.25">
      <c r="A22" s="1">
        <v>21</v>
      </c>
      <c r="B22" s="1">
        <v>15</v>
      </c>
      <c r="C22" s="1">
        <v>54</v>
      </c>
      <c r="D22" s="2" t="s">
        <v>6</v>
      </c>
      <c r="E22" s="3">
        <v>6570000</v>
      </c>
    </row>
    <row r="23" spans="1:5" x14ac:dyDescent="0.25">
      <c r="A23" s="1">
        <v>22</v>
      </c>
      <c r="B23" s="1">
        <v>4</v>
      </c>
      <c r="C23" s="1">
        <v>26</v>
      </c>
      <c r="D23" s="2" t="s">
        <v>6</v>
      </c>
      <c r="E23" s="3">
        <v>25000</v>
      </c>
    </row>
    <row r="24" spans="1:5" x14ac:dyDescent="0.25">
      <c r="A24" s="1">
        <v>23</v>
      </c>
      <c r="B24" s="1">
        <v>5</v>
      </c>
      <c r="C24" s="1">
        <v>29</v>
      </c>
      <c r="D24" s="2" t="s">
        <v>6</v>
      </c>
      <c r="E24" s="3">
        <v>6845000</v>
      </c>
    </row>
    <row r="25" spans="1:5" x14ac:dyDescent="0.25">
      <c r="A25" s="1">
        <v>24</v>
      </c>
      <c r="B25" s="1">
        <v>1</v>
      </c>
      <c r="C25" s="1">
        <v>21</v>
      </c>
      <c r="D25" s="2" t="s">
        <v>5</v>
      </c>
      <c r="E25" s="3">
        <v>6000</v>
      </c>
    </row>
    <row r="26" spans="1:5" x14ac:dyDescent="0.25">
      <c r="A26" s="1">
        <v>25</v>
      </c>
      <c r="B26" s="1">
        <v>4</v>
      </c>
      <c r="C26" s="1">
        <v>23</v>
      </c>
      <c r="D26" s="2" t="s">
        <v>5</v>
      </c>
      <c r="E26" s="3">
        <v>8900</v>
      </c>
    </row>
    <row r="27" spans="1:5" x14ac:dyDescent="0.25">
      <c r="A27" s="1">
        <v>26</v>
      </c>
      <c r="B27" s="1">
        <v>3</v>
      </c>
      <c r="C27" s="1">
        <v>22</v>
      </c>
      <c r="D27" s="2" t="s">
        <v>5</v>
      </c>
      <c r="E27" s="3">
        <v>20000</v>
      </c>
    </row>
    <row r="28" spans="1:5" x14ac:dyDescent="0.25">
      <c r="A28" s="1">
        <v>27</v>
      </c>
      <c r="B28" s="1">
        <v>1</v>
      </c>
      <c r="C28" s="1">
        <v>18</v>
      </c>
      <c r="D28" s="2" t="s">
        <v>6</v>
      </c>
      <c r="E28" s="3">
        <v>3000</v>
      </c>
    </row>
    <row r="29" spans="1:5" x14ac:dyDescent="0.25">
      <c r="A29" s="1">
        <v>28</v>
      </c>
      <c r="B29" s="1">
        <v>27</v>
      </c>
      <c r="C29" s="1">
        <v>62</v>
      </c>
      <c r="D29" s="2" t="s">
        <v>5</v>
      </c>
      <c r="E29" s="3">
        <v>10000000</v>
      </c>
    </row>
    <row r="30" spans="1:5" x14ac:dyDescent="0.25">
      <c r="A30" s="1">
        <v>29</v>
      </c>
      <c r="B30" s="1">
        <v>19</v>
      </c>
      <c r="C30" s="1">
        <v>54</v>
      </c>
      <c r="D30" s="2" t="s">
        <v>5</v>
      </c>
      <c r="E30" s="3">
        <v>5000000</v>
      </c>
    </row>
    <row r="31" spans="1:5" x14ac:dyDescent="0.25">
      <c r="A31" s="1">
        <v>30</v>
      </c>
      <c r="B31" s="1">
        <v>2</v>
      </c>
      <c r="C31" s="1">
        <v>21</v>
      </c>
      <c r="D31" s="2" t="s">
        <v>5</v>
      </c>
      <c r="E31" s="3">
        <v>6100</v>
      </c>
    </row>
    <row r="32" spans="1:5" x14ac:dyDescent="0.25">
      <c r="A32" s="1">
        <v>31</v>
      </c>
      <c r="B32" s="1">
        <v>10</v>
      </c>
      <c r="C32" s="1">
        <v>34</v>
      </c>
      <c r="D32" s="2" t="s">
        <v>6</v>
      </c>
      <c r="E32" s="3">
        <v>80000</v>
      </c>
    </row>
    <row r="33" spans="1:5" x14ac:dyDescent="0.25">
      <c r="A33" s="1">
        <v>32</v>
      </c>
      <c r="B33" s="1">
        <v>15</v>
      </c>
      <c r="C33" s="1">
        <v>54</v>
      </c>
      <c r="D33" s="2" t="s">
        <v>6</v>
      </c>
      <c r="E33" s="3">
        <v>900000</v>
      </c>
    </row>
    <row r="34" spans="1:5" x14ac:dyDescent="0.25">
      <c r="A34" s="1">
        <v>33</v>
      </c>
      <c r="B34" s="1">
        <v>20</v>
      </c>
      <c r="C34" s="1">
        <v>55</v>
      </c>
      <c r="D34" s="2" t="s">
        <v>5</v>
      </c>
      <c r="E34" s="3">
        <v>1540000</v>
      </c>
    </row>
    <row r="35" spans="1:5" x14ac:dyDescent="0.25">
      <c r="A35" s="1">
        <v>34</v>
      </c>
      <c r="B35" s="1">
        <v>19</v>
      </c>
      <c r="C35" s="1">
        <v>53</v>
      </c>
      <c r="D35" s="2" t="s">
        <v>5</v>
      </c>
      <c r="E35" s="3">
        <v>9300000</v>
      </c>
    </row>
    <row r="36" spans="1:5" x14ac:dyDescent="0.25">
      <c r="A36" s="1">
        <v>35</v>
      </c>
      <c r="B36" s="1">
        <v>16</v>
      </c>
      <c r="C36" s="1">
        <v>49</v>
      </c>
      <c r="D36" s="2" t="s">
        <v>6</v>
      </c>
      <c r="E36" s="3">
        <v>7600000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3"/>
  <sheetViews>
    <sheetView workbookViewId="0">
      <selection activeCell="M9" sqref="M9"/>
    </sheetView>
  </sheetViews>
  <sheetFormatPr defaultRowHeight="15" x14ac:dyDescent="0.25"/>
  <cols>
    <col min="1" max="1" width="13.140625" bestFit="1" customWidth="1"/>
    <col min="2" max="2" width="16.42578125" bestFit="1" customWidth="1"/>
    <col min="4" max="4" width="13.140625" bestFit="1" customWidth="1"/>
    <col min="5" max="5" width="16.42578125" customWidth="1"/>
  </cols>
  <sheetData>
    <row r="3" spans="1:8" x14ac:dyDescent="0.25">
      <c r="B3" s="3"/>
    </row>
    <row r="4" spans="1:8" x14ac:dyDescent="0.25">
      <c r="A4" s="6" t="s">
        <v>12</v>
      </c>
      <c r="B4" t="s">
        <v>14</v>
      </c>
      <c r="D4" s="6" t="s">
        <v>12</v>
      </c>
      <c r="E4" t="s">
        <v>14</v>
      </c>
      <c r="G4" s="6" t="s">
        <v>12</v>
      </c>
      <c r="H4" t="s">
        <v>14</v>
      </c>
    </row>
    <row r="5" spans="1:8" x14ac:dyDescent="0.25">
      <c r="A5" s="7" t="s">
        <v>5</v>
      </c>
      <c r="B5" s="8">
        <v>2054916.6666666667</v>
      </c>
      <c r="D5" s="9">
        <v>1</v>
      </c>
      <c r="E5" s="8">
        <v>17250</v>
      </c>
      <c r="G5" s="9">
        <v>17</v>
      </c>
      <c r="H5" s="8">
        <v>10000</v>
      </c>
    </row>
    <row r="6" spans="1:8" x14ac:dyDescent="0.25">
      <c r="A6" s="7" t="s">
        <v>6</v>
      </c>
      <c r="B6" s="8">
        <v>2063626.4705882352</v>
      </c>
      <c r="D6" s="9">
        <v>2</v>
      </c>
      <c r="E6" s="8">
        <v>12520</v>
      </c>
      <c r="G6" s="9">
        <v>18</v>
      </c>
      <c r="H6" s="8">
        <v>3000</v>
      </c>
    </row>
    <row r="7" spans="1:8" x14ac:dyDescent="0.25">
      <c r="A7" s="7" t="s">
        <v>13</v>
      </c>
      <c r="B7" s="8">
        <v>2059147.142857143</v>
      </c>
      <c r="D7" s="9">
        <v>3</v>
      </c>
      <c r="E7" s="8">
        <v>95000</v>
      </c>
      <c r="G7" s="9">
        <v>21</v>
      </c>
      <c r="H7" s="8">
        <v>17220</v>
      </c>
    </row>
    <row r="8" spans="1:8" x14ac:dyDescent="0.25">
      <c r="D8" s="9">
        <v>4</v>
      </c>
      <c r="E8" s="8">
        <v>92725</v>
      </c>
      <c r="G8" s="9">
        <v>22</v>
      </c>
      <c r="H8" s="8">
        <v>22500</v>
      </c>
    </row>
    <row r="9" spans="1:8" x14ac:dyDescent="0.25">
      <c r="A9" s="7"/>
      <c r="B9" s="8"/>
      <c r="D9" s="9">
        <v>5</v>
      </c>
      <c r="E9" s="8">
        <v>3547500</v>
      </c>
      <c r="G9" s="9">
        <v>23</v>
      </c>
      <c r="H9" s="8">
        <v>62133.333333333336</v>
      </c>
    </row>
    <row r="10" spans="1:8" x14ac:dyDescent="0.25">
      <c r="A10" s="7"/>
      <c r="B10" s="8"/>
      <c r="D10" s="9">
        <v>6</v>
      </c>
      <c r="E10" s="8">
        <v>1400000</v>
      </c>
      <c r="G10" s="9">
        <v>26</v>
      </c>
      <c r="H10" s="8">
        <v>137500</v>
      </c>
    </row>
    <row r="11" spans="1:8" x14ac:dyDescent="0.25">
      <c r="A11" s="7"/>
      <c r="B11" s="8"/>
      <c r="D11" s="9">
        <v>10</v>
      </c>
      <c r="E11" s="8">
        <v>350375</v>
      </c>
      <c r="G11" s="9">
        <v>27</v>
      </c>
      <c r="H11" s="8">
        <v>87000</v>
      </c>
    </row>
    <row r="12" spans="1:8" x14ac:dyDescent="0.25">
      <c r="D12" s="9">
        <v>11</v>
      </c>
      <c r="E12" s="8">
        <v>220100</v>
      </c>
      <c r="G12" s="9">
        <v>28</v>
      </c>
      <c r="H12" s="8">
        <v>250000</v>
      </c>
    </row>
    <row r="13" spans="1:8" x14ac:dyDescent="0.25">
      <c r="D13" s="9">
        <v>14</v>
      </c>
      <c r="E13" s="8">
        <v>6000050</v>
      </c>
      <c r="G13" s="9">
        <v>29</v>
      </c>
      <c r="H13" s="8">
        <v>4122500</v>
      </c>
    </row>
    <row r="14" spans="1:8" x14ac:dyDescent="0.25">
      <c r="D14" s="9">
        <v>15</v>
      </c>
      <c r="E14" s="8">
        <v>4005000</v>
      </c>
      <c r="G14" s="9">
        <v>34</v>
      </c>
      <c r="H14" s="8">
        <v>505000</v>
      </c>
    </row>
    <row r="15" spans="1:8" x14ac:dyDescent="0.25">
      <c r="D15" s="9">
        <v>16</v>
      </c>
      <c r="E15" s="8">
        <v>7600000</v>
      </c>
      <c r="G15" s="9">
        <v>36</v>
      </c>
      <c r="H15" s="8">
        <v>195750</v>
      </c>
    </row>
    <row r="16" spans="1:8" x14ac:dyDescent="0.25">
      <c r="D16" s="9">
        <v>19</v>
      </c>
      <c r="E16" s="8">
        <v>5033333.333333333</v>
      </c>
      <c r="G16" s="9">
        <v>39</v>
      </c>
      <c r="H16" s="8">
        <v>6000050</v>
      </c>
    </row>
    <row r="17" spans="4:8" x14ac:dyDescent="0.25">
      <c r="D17" s="9">
        <v>20</v>
      </c>
      <c r="E17" s="8">
        <v>1540000</v>
      </c>
      <c r="G17" s="9">
        <v>40</v>
      </c>
      <c r="H17" s="8">
        <v>220100</v>
      </c>
    </row>
    <row r="18" spans="4:8" x14ac:dyDescent="0.25">
      <c r="D18" s="9">
        <v>25</v>
      </c>
      <c r="E18" s="8">
        <v>5001000</v>
      </c>
      <c r="G18" s="9">
        <v>49</v>
      </c>
      <c r="H18" s="8">
        <v>7600000</v>
      </c>
    </row>
    <row r="19" spans="4:8" x14ac:dyDescent="0.25">
      <c r="D19" s="9">
        <v>27</v>
      </c>
      <c r="E19" s="8">
        <v>10000000</v>
      </c>
      <c r="G19" s="9">
        <v>53</v>
      </c>
      <c r="H19" s="8">
        <v>9300000</v>
      </c>
    </row>
    <row r="20" spans="4:8" x14ac:dyDescent="0.25">
      <c r="D20" s="9" t="s">
        <v>13</v>
      </c>
      <c r="E20" s="8">
        <v>2059147.142857143</v>
      </c>
      <c r="G20" s="9">
        <v>54</v>
      </c>
      <c r="H20" s="8">
        <v>3636666.6666666665</v>
      </c>
    </row>
    <row r="21" spans="4:8" x14ac:dyDescent="0.25">
      <c r="G21" s="9">
        <v>55</v>
      </c>
      <c r="H21" s="8">
        <v>1540000</v>
      </c>
    </row>
    <row r="22" spans="4:8" x14ac:dyDescent="0.25">
      <c r="G22" s="9">
        <v>62</v>
      </c>
      <c r="H22" s="8">
        <v>7500500</v>
      </c>
    </row>
    <row r="23" spans="4:8" x14ac:dyDescent="0.25">
      <c r="G23" s="9" t="s">
        <v>13</v>
      </c>
      <c r="H23" s="8">
        <v>2059147.142857143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0" zoomScaleNormal="80" workbookViewId="0">
      <selection activeCell="J32" sqref="J32"/>
    </sheetView>
  </sheetViews>
  <sheetFormatPr defaultRowHeight="15" x14ac:dyDescent="0.25"/>
  <cols>
    <col min="2" max="2" width="13.140625" bestFit="1" customWidth="1"/>
    <col min="3" max="3" width="16.42578125" customWidth="1"/>
    <col min="9" max="9" width="13.140625" bestFit="1" customWidth="1"/>
    <col min="10" max="10" width="27.28515625" bestFit="1" customWidth="1"/>
    <col min="15" max="15" width="13.140625" bestFit="1" customWidth="1"/>
    <col min="16" max="16" width="16.42578125" bestFit="1" customWidth="1"/>
  </cols>
  <sheetData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Formulas</vt:lpstr>
      <vt:lpstr>Charts</vt:lpstr>
      <vt:lpstr>Pivot Tables</vt:lpstr>
      <vt:lpstr>Dashbaord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Abhinav Pengoria</dc:creator>
  <cp:lastModifiedBy>dell</cp:lastModifiedBy>
  <cp:lastPrinted>2025-12-06T17:29:38Z</cp:lastPrinted>
  <dcterms:created xsi:type="dcterms:W3CDTF">2025-12-06T12:48:36Z</dcterms:created>
  <dcterms:modified xsi:type="dcterms:W3CDTF">2025-12-06T17:31:17Z</dcterms:modified>
</cp:coreProperties>
</file>